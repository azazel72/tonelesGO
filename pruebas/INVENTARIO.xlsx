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eleria\Desktop\"/>
    </mc:Choice>
  </mc:AlternateContent>
  <xr:revisionPtr revIDLastSave="0" documentId="13_ncr:9_{663049B7-38C1-4519-B9F9-0F93CD5B5601}" xr6:coauthVersionLast="47" xr6:coauthVersionMax="47" xr10:uidLastSave="{00000000-0000-0000-0000-000000000000}"/>
  <bookViews>
    <workbookView xWindow="-120" yWindow="-120" windowWidth="29040" windowHeight="15840" activeTab="1" xr2:uid="{7B3279AF-2BA5-4600-B57C-31A74E1B217F}"/>
  </bookViews>
  <sheets>
    <sheet name="INVENTARIO" sheetId="1" r:id="rId1"/>
    <sheet name="Hoja1" sheetId="2" r:id="rId2"/>
  </sheets>
  <definedNames>
    <definedName name="_xlnm._FilterDatabase" localSheetId="1" hidden="1">Hoja1!$H$1:$H$35</definedName>
    <definedName name="_xlnm._FilterDatabase" localSheetId="0" hidden="1">INVENTARIO!$A$1:$D$92</definedName>
  </definedNames>
  <calcPr calcId="0"/>
</workbook>
</file>

<file path=xl/calcChain.xml><?xml version="1.0" encoding="utf-8"?>
<calcChain xmlns="http://schemas.openxmlformats.org/spreadsheetml/2006/main">
  <c r="N10" i="2" l="1"/>
  <c r="N44" i="2"/>
  <c r="N35" i="2"/>
  <c r="N37" i="2"/>
  <c r="N29" i="2"/>
  <c r="D6" i="2"/>
  <c r="N31" i="2"/>
  <c r="D12" i="2"/>
  <c r="N30" i="2"/>
  <c r="N66" i="2" s="1"/>
  <c r="D13" i="2"/>
  <c r="D14" i="2"/>
  <c r="D20" i="2"/>
  <c r="D35" i="2" s="1"/>
  <c r="I37" i="2"/>
  <c r="D16" i="2"/>
  <c r="N22" i="2"/>
</calcChain>
</file>

<file path=xl/sharedStrings.xml><?xml version="1.0" encoding="utf-8"?>
<sst xmlns="http://schemas.openxmlformats.org/spreadsheetml/2006/main" count="572" uniqueCount="33">
  <si>
    <t>Taller viejo</t>
  </si>
  <si>
    <t>0.50</t>
  </si>
  <si>
    <t>Castaño</t>
  </si>
  <si>
    <t>0.60</t>
  </si>
  <si>
    <t>1.00</t>
  </si>
  <si>
    <t>RC</t>
  </si>
  <si>
    <t>1.15</t>
  </si>
  <si>
    <t>0.95</t>
  </si>
  <si>
    <t>0.85</t>
  </si>
  <si>
    <t>0.80</t>
  </si>
  <si>
    <t>0.70</t>
  </si>
  <si>
    <t>Taller nuevo</t>
  </si>
  <si>
    <t>1.30</t>
  </si>
  <si>
    <t>RA</t>
  </si>
  <si>
    <t>RP</t>
  </si>
  <si>
    <t>Sta Lucia</t>
  </si>
  <si>
    <t>RB</t>
  </si>
  <si>
    <t>RCPalillos</t>
  </si>
  <si>
    <t>Paez Morilla</t>
  </si>
  <si>
    <t>UBICACIONES</t>
  </si>
  <si>
    <t>LARGOS DE DUELA</t>
  </si>
  <si>
    <t>TIPO DE MADERA</t>
  </si>
  <si>
    <t>METROS CUBICOS</t>
  </si>
  <si>
    <t>TALLER VIEJO</t>
  </si>
  <si>
    <t>TALLER NUEVO</t>
  </si>
  <si>
    <t>SANTA LUCIA</t>
  </si>
  <si>
    <t>PAEZ MORILLA</t>
  </si>
  <si>
    <t>TOTAL PAEZ MORILLA</t>
  </si>
  <si>
    <t>TOTAL TALLER NUEVO</t>
  </si>
  <si>
    <t>TOTAL TALLER VIEJO</t>
  </si>
  <si>
    <t>TOTAL SANTA LUCIA</t>
  </si>
  <si>
    <t>PROCESADO</t>
  </si>
  <si>
    <t>TOTAL PROCESADO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</si>
</sst>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" fontId="0" fillId="0" borderId="0" xfId="0" applyNumberFormat="1"/>
    <xf numFmtId="0" fontId="0" fillId="0" borderId="10" xfId="0" applyBorder="1"/>
    <xf numFmtId="0" fontId="0" fillId="33" borderId="10" xfId="0" applyFill="1" applyBorder="1" applyAlignment="1">
      <alignment horizontal="center"/>
    </xf>
    <xf numFmtId="0" fontId="16" fillId="34" borderId="10" xfId="0" applyFont="1" applyFill="1" applyBorder="1"/>
    <xf numFmtId="0" fontId="18" fillId="0" borderId="10" xfId="0" applyFont="1" applyBorder="1"/>
    <xf numFmtId="0" fontId="0" fillId="35" borderId="11" xfId="0" applyFill="1" applyBorder="1"/>
    <xf numFmtId="0" fontId="0" fillId="35" borderId="12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16" fillId="36" borderId="0" xfId="0" applyFont="1" applyFill="1" applyBorder="1"/>
    <xf numFmtId="0" fontId="0" fillId="35" borderId="14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0" fillId="36" borderId="0" xfId="0" applyFill="1" applyBorder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F725-959D-4547-A8A3-5175E650E65A}">
  <dimension ref="A1:D92"/>
  <sheetViews>
    <sheetView workbookViewId="0">
      <selection activeCell="H28" sqref="H28"/>
    </sheetView>
  </sheetViews>
  <sheetFormatPr baseColWidth="10" defaultRowHeight="15" x14ac:dyDescent="0.25"/>
  <cols>
    <col min="1" max="1" width="25" customWidth="1"/>
    <col min="2" max="2" width="17.85546875" customWidth="1"/>
    <col min="3" max="3" width="17.5703125" customWidth="1"/>
    <col min="4" max="4" width="17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t="s">
        <v>0</v>
      </c>
      <c r="B2" t="s">
        <v>1</v>
      </c>
      <c r="C2" t="s">
        <v>2</v>
      </c>
      <c r="D2">
        <v>6.5</v>
      </c>
    </row>
    <row r="3" spans="1:4" x14ac:dyDescent="0.25">
      <c r="A3" t="s">
        <v>0</v>
      </c>
      <c r="B3" t="s">
        <v>3</v>
      </c>
      <c r="C3" t="s">
        <v>2</v>
      </c>
      <c r="D3">
        <v>6.2880000000000003</v>
      </c>
    </row>
    <row r="4" spans="1:4" x14ac:dyDescent="0.25">
      <c r="A4" t="s">
        <v>0</v>
      </c>
      <c r="B4" t="s">
        <v>4</v>
      </c>
      <c r="C4" t="s">
        <v>2</v>
      </c>
      <c r="D4">
        <v>40.933999999999997</v>
      </c>
    </row>
    <row r="5" spans="1:4" x14ac:dyDescent="0.25">
      <c r="A5" t="s">
        <v>0</v>
      </c>
      <c r="B5" t="s">
        <v>1</v>
      </c>
      <c r="C5" t="s">
        <v>5</v>
      </c>
      <c r="D5">
        <v>252.39099999999999</v>
      </c>
    </row>
    <row r="6" spans="1:4" x14ac:dyDescent="0.25">
      <c r="A6" t="s">
        <v>0</v>
      </c>
      <c r="B6" t="s">
        <v>6</v>
      </c>
      <c r="C6" t="s">
        <v>5</v>
      </c>
      <c r="D6">
        <v>1.9319999999999999</v>
      </c>
    </row>
    <row r="7" spans="1:4" x14ac:dyDescent="0.25">
      <c r="A7" t="s">
        <v>0</v>
      </c>
      <c r="B7" t="s">
        <v>4</v>
      </c>
      <c r="C7" t="s">
        <v>5</v>
      </c>
      <c r="D7">
        <v>672.673</v>
      </c>
    </row>
    <row r="8" spans="1:4" x14ac:dyDescent="0.25">
      <c r="A8" t="s">
        <v>0</v>
      </c>
      <c r="B8" t="s">
        <v>7</v>
      </c>
      <c r="C8" t="s">
        <v>5</v>
      </c>
      <c r="D8">
        <v>183.50200000000001</v>
      </c>
    </row>
    <row r="9" spans="1:4" x14ac:dyDescent="0.25">
      <c r="A9" t="s">
        <v>0</v>
      </c>
      <c r="B9" t="s">
        <v>8</v>
      </c>
      <c r="C9" t="s">
        <v>5</v>
      </c>
      <c r="D9">
        <v>232.36</v>
      </c>
    </row>
    <row r="10" spans="1:4" x14ac:dyDescent="0.25">
      <c r="A10" t="s">
        <v>0</v>
      </c>
      <c r="B10" t="s">
        <v>9</v>
      </c>
      <c r="C10" t="s">
        <v>5</v>
      </c>
      <c r="D10">
        <v>58.869</v>
      </c>
    </row>
    <row r="11" spans="1:4" x14ac:dyDescent="0.25">
      <c r="A11" t="s">
        <v>0</v>
      </c>
      <c r="B11" t="s">
        <v>10</v>
      </c>
      <c r="C11" t="s">
        <v>5</v>
      </c>
      <c r="D11">
        <v>431.55</v>
      </c>
    </row>
    <row r="12" spans="1:4" x14ac:dyDescent="0.25">
      <c r="A12" t="s">
        <v>0</v>
      </c>
      <c r="B12" t="s">
        <v>3</v>
      </c>
      <c r="C12" t="s">
        <v>5</v>
      </c>
      <c r="D12">
        <v>321.18700000000001</v>
      </c>
    </row>
    <row r="13" spans="1:4" x14ac:dyDescent="0.25">
      <c r="A13" t="s">
        <v>11</v>
      </c>
      <c r="B13" t="s">
        <v>12</v>
      </c>
      <c r="C13" t="s">
        <v>5</v>
      </c>
      <c r="D13" s="1">
        <v>1822.8219999999999</v>
      </c>
    </row>
    <row r="14" spans="1:4" x14ac:dyDescent="0.25">
      <c r="A14" t="s">
        <v>11</v>
      </c>
      <c r="B14" t="s">
        <v>1</v>
      </c>
      <c r="C14" t="s">
        <v>2</v>
      </c>
      <c r="D14">
        <v>6.7510000000000003</v>
      </c>
    </row>
    <row r="15" spans="1:4" x14ac:dyDescent="0.25">
      <c r="A15" t="s">
        <v>11</v>
      </c>
      <c r="B15" t="s">
        <v>4</v>
      </c>
      <c r="C15" t="s">
        <v>2</v>
      </c>
      <c r="D15">
        <v>22.056000000000001</v>
      </c>
    </row>
    <row r="16" spans="1:4" x14ac:dyDescent="0.25">
      <c r="A16" t="s">
        <v>11</v>
      </c>
      <c r="B16" t="s">
        <v>3</v>
      </c>
      <c r="C16" t="s">
        <v>2</v>
      </c>
      <c r="D16">
        <v>12.692</v>
      </c>
    </row>
    <row r="17" spans="1:4" x14ac:dyDescent="0.25">
      <c r="A17" t="s">
        <v>11</v>
      </c>
      <c r="B17" t="s">
        <v>4</v>
      </c>
      <c r="C17" t="s">
        <v>13</v>
      </c>
      <c r="D17">
        <v>2.7229999999999999</v>
      </c>
    </row>
    <row r="18" spans="1:4" x14ac:dyDescent="0.25">
      <c r="A18" t="s">
        <v>11</v>
      </c>
      <c r="B18" t="s">
        <v>4</v>
      </c>
      <c r="C18" t="s">
        <v>14</v>
      </c>
      <c r="D18">
        <v>18.815999999999999</v>
      </c>
    </row>
    <row r="19" spans="1:4" x14ac:dyDescent="0.25">
      <c r="A19" t="s">
        <v>11</v>
      </c>
      <c r="B19" t="s">
        <v>4</v>
      </c>
      <c r="C19" t="s">
        <v>5</v>
      </c>
      <c r="D19">
        <v>68.540000000000006</v>
      </c>
    </row>
    <row r="20" spans="1:4" x14ac:dyDescent="0.25">
      <c r="A20" t="s">
        <v>11</v>
      </c>
      <c r="B20" t="s">
        <v>6</v>
      </c>
      <c r="C20" t="s">
        <v>13</v>
      </c>
      <c r="D20">
        <v>4.3579999999999997</v>
      </c>
    </row>
    <row r="21" spans="1:4" x14ac:dyDescent="0.25">
      <c r="A21" t="s">
        <v>11</v>
      </c>
      <c r="B21" t="s">
        <v>6</v>
      </c>
      <c r="C21" t="s">
        <v>5</v>
      </c>
      <c r="D21">
        <v>657.86400000000003</v>
      </c>
    </row>
    <row r="22" spans="1:4" x14ac:dyDescent="0.25">
      <c r="A22" t="s">
        <v>11</v>
      </c>
      <c r="B22" t="s">
        <v>8</v>
      </c>
      <c r="C22" t="s">
        <v>5</v>
      </c>
      <c r="D22">
        <v>10.78</v>
      </c>
    </row>
    <row r="23" spans="1:4" x14ac:dyDescent="0.25">
      <c r="A23" t="s">
        <v>15</v>
      </c>
      <c r="B23" t="s">
        <v>1</v>
      </c>
      <c r="C23" t="s">
        <v>5</v>
      </c>
      <c r="D23">
        <v>9.2379999999999995</v>
      </c>
    </row>
    <row r="24" spans="1:4" x14ac:dyDescent="0.25">
      <c r="A24" t="s">
        <v>15</v>
      </c>
      <c r="B24" t="s">
        <v>1</v>
      </c>
      <c r="C24" t="s">
        <v>13</v>
      </c>
      <c r="D24">
        <v>38.398000000000003</v>
      </c>
    </row>
    <row r="25" spans="1:4" x14ac:dyDescent="0.25">
      <c r="A25" t="s">
        <v>15</v>
      </c>
      <c r="B25" t="s">
        <v>1</v>
      </c>
      <c r="C25" t="s">
        <v>16</v>
      </c>
      <c r="D25">
        <v>63.451000000000001</v>
      </c>
    </row>
    <row r="26" spans="1:4" x14ac:dyDescent="0.25">
      <c r="A26" t="s">
        <v>15</v>
      </c>
      <c r="B26" t="s">
        <v>3</v>
      </c>
      <c r="C26" t="s">
        <v>17</v>
      </c>
      <c r="D26">
        <v>3.206</v>
      </c>
    </row>
    <row r="27" spans="1:4" x14ac:dyDescent="0.25">
      <c r="A27" t="s">
        <v>15</v>
      </c>
      <c r="B27" t="s">
        <v>10</v>
      </c>
      <c r="C27" t="s">
        <v>17</v>
      </c>
      <c r="D27">
        <v>3.73</v>
      </c>
    </row>
    <row r="28" spans="1:4" x14ac:dyDescent="0.25">
      <c r="A28" t="s">
        <v>15</v>
      </c>
      <c r="B28" t="s">
        <v>4</v>
      </c>
      <c r="C28" t="s">
        <v>17</v>
      </c>
      <c r="D28">
        <v>8.5389999999999997</v>
      </c>
    </row>
    <row r="29" spans="1:4" x14ac:dyDescent="0.25">
      <c r="A29" t="s">
        <v>15</v>
      </c>
      <c r="B29" t="s">
        <v>8</v>
      </c>
      <c r="C29" t="s">
        <v>17</v>
      </c>
      <c r="D29">
        <v>2.2799999999999998</v>
      </c>
    </row>
    <row r="30" spans="1:4" x14ac:dyDescent="0.25">
      <c r="A30" t="s">
        <v>15</v>
      </c>
      <c r="B30" t="s">
        <v>1</v>
      </c>
      <c r="C30" t="s">
        <v>17</v>
      </c>
      <c r="D30">
        <v>7.4909999999999997</v>
      </c>
    </row>
    <row r="31" spans="1:4" x14ac:dyDescent="0.25">
      <c r="A31" t="s">
        <v>15</v>
      </c>
      <c r="B31" t="s">
        <v>6</v>
      </c>
      <c r="C31" t="s">
        <v>17</v>
      </c>
      <c r="D31">
        <v>5.4619999999999997</v>
      </c>
    </row>
    <row r="32" spans="1:4" x14ac:dyDescent="0.25">
      <c r="A32" t="s">
        <v>15</v>
      </c>
      <c r="B32" t="s">
        <v>12</v>
      </c>
      <c r="C32" t="s">
        <v>17</v>
      </c>
      <c r="D32">
        <v>34.502000000000002</v>
      </c>
    </row>
    <row r="33" spans="1:4" x14ac:dyDescent="0.25">
      <c r="A33" t="s">
        <v>15</v>
      </c>
      <c r="B33" t="s">
        <v>3</v>
      </c>
      <c r="C33" t="s">
        <v>16</v>
      </c>
      <c r="D33">
        <v>61.911000000000001</v>
      </c>
    </row>
    <row r="34" spans="1:4" x14ac:dyDescent="0.25">
      <c r="A34" t="s">
        <v>15</v>
      </c>
      <c r="B34" t="s">
        <v>9</v>
      </c>
      <c r="C34" t="s">
        <v>17</v>
      </c>
      <c r="D34">
        <v>2.2799999999999998</v>
      </c>
    </row>
    <row r="35" spans="1:4" x14ac:dyDescent="0.25">
      <c r="A35" t="s">
        <v>15</v>
      </c>
      <c r="B35" t="s">
        <v>3</v>
      </c>
      <c r="C35" t="s">
        <v>13</v>
      </c>
      <c r="D35">
        <v>73.941999999999993</v>
      </c>
    </row>
    <row r="36" spans="1:4" x14ac:dyDescent="0.25">
      <c r="A36" t="s">
        <v>15</v>
      </c>
      <c r="B36" t="s">
        <v>9</v>
      </c>
      <c r="C36" t="s">
        <v>5</v>
      </c>
      <c r="D36">
        <v>1.048</v>
      </c>
    </row>
    <row r="37" spans="1:4" x14ac:dyDescent="0.25">
      <c r="A37" t="s">
        <v>15</v>
      </c>
      <c r="B37" t="s">
        <v>10</v>
      </c>
      <c r="C37" t="s">
        <v>16</v>
      </c>
      <c r="D37">
        <v>38.459000000000003</v>
      </c>
    </row>
    <row r="38" spans="1:4" x14ac:dyDescent="0.25">
      <c r="A38" t="s">
        <v>15</v>
      </c>
      <c r="B38" t="s">
        <v>12</v>
      </c>
      <c r="C38" t="s">
        <v>5</v>
      </c>
      <c r="D38">
        <v>457.04899999999998</v>
      </c>
    </row>
    <row r="39" spans="1:4" x14ac:dyDescent="0.25">
      <c r="A39" t="s">
        <v>15</v>
      </c>
      <c r="B39" t="s">
        <v>12</v>
      </c>
      <c r="C39" t="s">
        <v>13</v>
      </c>
      <c r="D39">
        <v>26.263000000000002</v>
      </c>
    </row>
    <row r="40" spans="1:4" x14ac:dyDescent="0.25">
      <c r="A40" t="s">
        <v>15</v>
      </c>
      <c r="B40" t="s">
        <v>12</v>
      </c>
      <c r="C40" t="s">
        <v>16</v>
      </c>
      <c r="D40">
        <v>150.72300000000001</v>
      </c>
    </row>
    <row r="41" spans="1:4" x14ac:dyDescent="0.25">
      <c r="A41" t="s">
        <v>15</v>
      </c>
      <c r="B41" t="s">
        <v>6</v>
      </c>
      <c r="C41" t="s">
        <v>5</v>
      </c>
      <c r="D41">
        <v>222.70099999999999</v>
      </c>
    </row>
    <row r="42" spans="1:4" x14ac:dyDescent="0.25">
      <c r="A42" t="s">
        <v>15</v>
      </c>
      <c r="B42" t="s">
        <v>6</v>
      </c>
      <c r="C42" t="s">
        <v>13</v>
      </c>
      <c r="D42">
        <v>278.065</v>
      </c>
    </row>
    <row r="43" spans="1:4" x14ac:dyDescent="0.25">
      <c r="A43" t="s">
        <v>15</v>
      </c>
      <c r="B43" t="s">
        <v>6</v>
      </c>
      <c r="C43" t="s">
        <v>16</v>
      </c>
      <c r="D43">
        <v>375.05599999999998</v>
      </c>
    </row>
    <row r="44" spans="1:4" x14ac:dyDescent="0.25">
      <c r="A44" t="s">
        <v>15</v>
      </c>
      <c r="B44" t="s">
        <v>4</v>
      </c>
      <c r="C44" t="s">
        <v>5</v>
      </c>
      <c r="D44">
        <v>42.84</v>
      </c>
    </row>
    <row r="45" spans="1:4" x14ac:dyDescent="0.25">
      <c r="A45" t="s">
        <v>15</v>
      </c>
      <c r="B45" t="s">
        <v>4</v>
      </c>
      <c r="C45" t="s">
        <v>13</v>
      </c>
      <c r="D45">
        <v>183.64500000000001</v>
      </c>
    </row>
    <row r="46" spans="1:4" x14ac:dyDescent="0.25">
      <c r="A46" t="s">
        <v>15</v>
      </c>
      <c r="B46" t="s">
        <v>3</v>
      </c>
      <c r="C46" t="s">
        <v>5</v>
      </c>
      <c r="D46">
        <v>14.353999999999999</v>
      </c>
    </row>
    <row r="47" spans="1:4" x14ac:dyDescent="0.25">
      <c r="A47" t="s">
        <v>15</v>
      </c>
      <c r="B47" t="s">
        <v>4</v>
      </c>
      <c r="C47" t="s">
        <v>16</v>
      </c>
      <c r="D47">
        <v>103.17</v>
      </c>
    </row>
    <row r="48" spans="1:4" x14ac:dyDescent="0.25">
      <c r="A48" t="s">
        <v>15</v>
      </c>
      <c r="B48" t="s">
        <v>7</v>
      </c>
      <c r="C48" t="s">
        <v>16</v>
      </c>
      <c r="D48">
        <v>6.4619999999999997</v>
      </c>
    </row>
    <row r="49" spans="1:4" x14ac:dyDescent="0.25">
      <c r="A49" t="s">
        <v>15</v>
      </c>
      <c r="B49" t="s">
        <v>8</v>
      </c>
      <c r="C49" t="s">
        <v>5</v>
      </c>
      <c r="D49">
        <v>17.794</v>
      </c>
    </row>
    <row r="50" spans="1:4" x14ac:dyDescent="0.25">
      <c r="A50" t="s">
        <v>15</v>
      </c>
      <c r="B50" t="s">
        <v>8</v>
      </c>
      <c r="C50" t="s">
        <v>16</v>
      </c>
      <c r="D50">
        <v>20.044</v>
      </c>
    </row>
    <row r="51" spans="1:4" x14ac:dyDescent="0.25">
      <c r="A51" t="s">
        <v>15</v>
      </c>
      <c r="B51" t="s">
        <v>9</v>
      </c>
      <c r="C51" t="s">
        <v>13</v>
      </c>
      <c r="D51">
        <v>50.862000000000002</v>
      </c>
    </row>
    <row r="52" spans="1:4" x14ac:dyDescent="0.25">
      <c r="A52" t="s">
        <v>15</v>
      </c>
      <c r="B52" t="s">
        <v>9</v>
      </c>
      <c r="C52" t="s">
        <v>16</v>
      </c>
      <c r="D52">
        <v>7.7039999999999997</v>
      </c>
    </row>
    <row r="53" spans="1:4" x14ac:dyDescent="0.25">
      <c r="A53" t="s">
        <v>15</v>
      </c>
      <c r="B53" t="s">
        <v>10</v>
      </c>
      <c r="C53" t="s">
        <v>5</v>
      </c>
      <c r="D53">
        <v>18.734000000000002</v>
      </c>
    </row>
    <row r="54" spans="1:4" x14ac:dyDescent="0.25">
      <c r="A54" t="s">
        <v>15</v>
      </c>
      <c r="B54" t="s">
        <v>10</v>
      </c>
      <c r="C54" t="s">
        <v>13</v>
      </c>
      <c r="D54">
        <v>18.064</v>
      </c>
    </row>
    <row r="55" spans="1:4" x14ac:dyDescent="0.25">
      <c r="A55" t="s">
        <v>15</v>
      </c>
      <c r="B55" t="s">
        <v>7</v>
      </c>
      <c r="C55" t="s">
        <v>5</v>
      </c>
      <c r="D55">
        <v>8.9789999999999992</v>
      </c>
    </row>
    <row r="56" spans="1:4" x14ac:dyDescent="0.25">
      <c r="A56" t="s">
        <v>18</v>
      </c>
      <c r="B56" t="s">
        <v>1</v>
      </c>
      <c r="C56" t="s">
        <v>5</v>
      </c>
      <c r="D56">
        <v>51.048000000000002</v>
      </c>
    </row>
    <row r="57" spans="1:4" x14ac:dyDescent="0.25">
      <c r="A57" t="s">
        <v>18</v>
      </c>
      <c r="B57" t="s">
        <v>1</v>
      </c>
      <c r="C57" t="s">
        <v>14</v>
      </c>
      <c r="D57">
        <v>3.1680000000000001</v>
      </c>
    </row>
    <row r="58" spans="1:4" x14ac:dyDescent="0.25">
      <c r="A58" t="s">
        <v>18</v>
      </c>
      <c r="B58" t="s">
        <v>3</v>
      </c>
      <c r="C58" t="s">
        <v>13</v>
      </c>
      <c r="D58">
        <v>12.499000000000001</v>
      </c>
    </row>
    <row r="59" spans="1:4" x14ac:dyDescent="0.25">
      <c r="A59" t="s">
        <v>18</v>
      </c>
      <c r="B59" t="s">
        <v>4</v>
      </c>
      <c r="C59" t="s">
        <v>5</v>
      </c>
      <c r="D59">
        <v>119.1</v>
      </c>
    </row>
    <row r="60" spans="1:4" x14ac:dyDescent="0.25">
      <c r="A60" t="s">
        <v>18</v>
      </c>
      <c r="B60" t="s">
        <v>3</v>
      </c>
      <c r="C60" t="s">
        <v>5</v>
      </c>
      <c r="D60">
        <v>47.265999999999998</v>
      </c>
    </row>
    <row r="61" spans="1:4" x14ac:dyDescent="0.25">
      <c r="A61" t="s">
        <v>18</v>
      </c>
      <c r="B61" t="s">
        <v>3</v>
      </c>
      <c r="C61" t="s">
        <v>14</v>
      </c>
      <c r="D61">
        <v>2.4239999999999999</v>
      </c>
    </row>
    <row r="62" spans="1:4" x14ac:dyDescent="0.25">
      <c r="A62" t="s">
        <v>18</v>
      </c>
      <c r="B62" t="s">
        <v>4</v>
      </c>
      <c r="C62" t="s">
        <v>13</v>
      </c>
      <c r="D62">
        <v>26.856000000000002</v>
      </c>
    </row>
    <row r="63" spans="1:4" x14ac:dyDescent="0.25">
      <c r="A63" t="s">
        <v>18</v>
      </c>
      <c r="B63" t="s">
        <v>4</v>
      </c>
      <c r="C63" t="s">
        <v>14</v>
      </c>
      <c r="D63">
        <v>36.685000000000002</v>
      </c>
    </row>
    <row r="64" spans="1:4" x14ac:dyDescent="0.25">
      <c r="A64" t="s">
        <v>18</v>
      </c>
      <c r="B64" t="s">
        <v>6</v>
      </c>
      <c r="C64" t="s">
        <v>16</v>
      </c>
      <c r="D64">
        <v>52.8</v>
      </c>
    </row>
    <row r="65" spans="1:4" x14ac:dyDescent="0.25">
      <c r="A65" t="s">
        <v>18</v>
      </c>
      <c r="B65" t="s">
        <v>6</v>
      </c>
      <c r="C65" t="s">
        <v>5</v>
      </c>
      <c r="D65">
        <v>42.600999999999999</v>
      </c>
    </row>
    <row r="66" spans="1:4" x14ac:dyDescent="0.25">
      <c r="A66" t="s">
        <v>18</v>
      </c>
      <c r="B66" t="s">
        <v>12</v>
      </c>
      <c r="C66" t="s">
        <v>13</v>
      </c>
      <c r="D66">
        <v>52.08</v>
      </c>
    </row>
    <row r="67" spans="1:4" x14ac:dyDescent="0.25">
      <c r="A67" t="s">
        <v>18</v>
      </c>
      <c r="B67" t="s">
        <v>12</v>
      </c>
      <c r="C67" t="s">
        <v>5</v>
      </c>
      <c r="D67">
        <v>452.07100000000003</v>
      </c>
    </row>
    <row r="68" spans="1:4" x14ac:dyDescent="0.25">
      <c r="A68" t="s">
        <v>18</v>
      </c>
      <c r="B68" t="s">
        <v>12</v>
      </c>
      <c r="C68" t="s">
        <v>14</v>
      </c>
      <c r="D68">
        <v>76.123999999999995</v>
      </c>
    </row>
    <row r="69" spans="1:4" x14ac:dyDescent="0.25">
      <c r="A69" t="s">
        <v>18</v>
      </c>
      <c r="B69" t="s">
        <v>7</v>
      </c>
      <c r="C69" t="s">
        <v>14</v>
      </c>
      <c r="D69">
        <v>0.878</v>
      </c>
    </row>
    <row r="70" spans="1:4" x14ac:dyDescent="0.25">
      <c r="A70" t="s">
        <v>18</v>
      </c>
      <c r="B70" t="s">
        <v>8</v>
      </c>
      <c r="C70" t="s">
        <v>5</v>
      </c>
      <c r="D70">
        <v>32.869999999999997</v>
      </c>
    </row>
    <row r="71" spans="1:4" x14ac:dyDescent="0.25">
      <c r="A71" t="s">
        <v>18</v>
      </c>
      <c r="B71" t="s">
        <v>8</v>
      </c>
      <c r="C71" t="s">
        <v>14</v>
      </c>
      <c r="D71">
        <v>2.355</v>
      </c>
    </row>
    <row r="72" spans="1:4" x14ac:dyDescent="0.25">
      <c r="A72" t="s">
        <v>18</v>
      </c>
      <c r="B72" t="s">
        <v>9</v>
      </c>
      <c r="C72" t="s">
        <v>5</v>
      </c>
      <c r="D72">
        <v>17.306000000000001</v>
      </c>
    </row>
    <row r="73" spans="1:4" x14ac:dyDescent="0.25">
      <c r="A73" t="s">
        <v>18</v>
      </c>
      <c r="B73" t="s">
        <v>10</v>
      </c>
      <c r="C73" t="s">
        <v>5</v>
      </c>
      <c r="D73">
        <v>64.948999999999998</v>
      </c>
    </row>
    <row r="74" spans="1:4" x14ac:dyDescent="0.25">
      <c r="A74" t="s">
        <v>18</v>
      </c>
      <c r="B74" t="s">
        <v>10</v>
      </c>
      <c r="C74" t="s">
        <v>14</v>
      </c>
      <c r="D74">
        <v>2.8260000000000001</v>
      </c>
    </row>
    <row r="75" spans="1:4" x14ac:dyDescent="0.25">
      <c r="A75" t="s">
        <v>18</v>
      </c>
      <c r="B75" t="s">
        <v>7</v>
      </c>
      <c r="C75" t="s">
        <v>5</v>
      </c>
      <c r="D75">
        <v>34.027000000000001</v>
      </c>
    </row>
    <row r="76" spans="1:4" x14ac:dyDescent="0.25">
      <c r="B76" t="s">
        <v>1</v>
      </c>
      <c r="C76" t="s">
        <v>16</v>
      </c>
      <c r="D76">
        <v>9.1449999999999996</v>
      </c>
    </row>
    <row r="77" spans="1:4" x14ac:dyDescent="0.25">
      <c r="B77" t="s">
        <v>1</v>
      </c>
      <c r="C77" t="s">
        <v>5</v>
      </c>
      <c r="D77">
        <v>50.76</v>
      </c>
    </row>
    <row r="78" spans="1:4" x14ac:dyDescent="0.25">
      <c r="B78" t="s">
        <v>1</v>
      </c>
      <c r="C78" t="s">
        <v>14</v>
      </c>
      <c r="D78">
        <v>19.739999999999998</v>
      </c>
    </row>
    <row r="79" spans="1:4" x14ac:dyDescent="0.25">
      <c r="B79" t="s">
        <v>3</v>
      </c>
      <c r="C79" t="s">
        <v>5</v>
      </c>
      <c r="D79">
        <v>29.536000000000001</v>
      </c>
    </row>
    <row r="80" spans="1:4" x14ac:dyDescent="0.25">
      <c r="B80" t="s">
        <v>10</v>
      </c>
      <c r="C80" t="s">
        <v>5</v>
      </c>
      <c r="D80">
        <v>65.8</v>
      </c>
    </row>
    <row r="81" spans="2:4" x14ac:dyDescent="0.25">
      <c r="B81" t="s">
        <v>3</v>
      </c>
      <c r="C81" t="s">
        <v>16</v>
      </c>
      <c r="D81">
        <v>13.945</v>
      </c>
    </row>
    <row r="82" spans="2:4" x14ac:dyDescent="0.25">
      <c r="B82" t="s">
        <v>10</v>
      </c>
      <c r="C82" t="s">
        <v>14</v>
      </c>
      <c r="D82">
        <v>4.91</v>
      </c>
    </row>
    <row r="83" spans="2:4" x14ac:dyDescent="0.25">
      <c r="B83" t="s">
        <v>9</v>
      </c>
      <c r="C83" t="s">
        <v>16</v>
      </c>
      <c r="D83">
        <v>3.7440000000000002</v>
      </c>
    </row>
    <row r="84" spans="2:4" x14ac:dyDescent="0.25">
      <c r="B84" t="s">
        <v>9</v>
      </c>
      <c r="C84" t="s">
        <v>5</v>
      </c>
      <c r="D84">
        <v>13.909000000000001</v>
      </c>
    </row>
    <row r="85" spans="2:4" x14ac:dyDescent="0.25">
      <c r="B85" t="s">
        <v>8</v>
      </c>
      <c r="C85" t="s">
        <v>5</v>
      </c>
      <c r="D85">
        <v>119.88800000000001</v>
      </c>
    </row>
    <row r="86" spans="2:4" x14ac:dyDescent="0.25">
      <c r="B86" t="s">
        <v>7</v>
      </c>
      <c r="C86" t="s">
        <v>5</v>
      </c>
      <c r="D86">
        <v>3.5739999999999998</v>
      </c>
    </row>
    <row r="87" spans="2:4" x14ac:dyDescent="0.25">
      <c r="B87" t="s">
        <v>4</v>
      </c>
      <c r="C87" t="s">
        <v>5</v>
      </c>
      <c r="D87">
        <v>8.92</v>
      </c>
    </row>
    <row r="88" spans="2:4" x14ac:dyDescent="0.25">
      <c r="B88" t="s">
        <v>6</v>
      </c>
      <c r="C88" t="s">
        <v>14</v>
      </c>
      <c r="D88">
        <v>24.64</v>
      </c>
    </row>
    <row r="89" spans="2:4" x14ac:dyDescent="0.25">
      <c r="B89" t="s">
        <v>6</v>
      </c>
      <c r="C89" t="s">
        <v>5</v>
      </c>
      <c r="D89">
        <v>49.19</v>
      </c>
    </row>
    <row r="90" spans="2:4" x14ac:dyDescent="0.25">
      <c r="B90" t="s">
        <v>12</v>
      </c>
      <c r="C90" t="s">
        <v>2</v>
      </c>
      <c r="D90">
        <v>1.5660000000000001</v>
      </c>
    </row>
    <row r="91" spans="2:4" x14ac:dyDescent="0.25">
      <c r="B91" t="s">
        <v>3</v>
      </c>
      <c r="C91" t="s">
        <v>14</v>
      </c>
      <c r="D91">
        <v>7.52</v>
      </c>
    </row>
    <row r="92" spans="2:4" x14ac:dyDescent="0.25">
      <c r="B92" t="s">
        <v>12</v>
      </c>
      <c r="C92" t="s">
        <v>17</v>
      </c>
      <c r="D92">
        <v>8</v>
      </c>
    </row>
  </sheetData>
  <autoFilter ref="A1:D92" xr:uid="{5192F725-959D-4547-A8A3-5175E650E65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395E5-C285-43EC-9E01-038F200D9628}">
  <dimension ref="A1:N66"/>
  <sheetViews>
    <sheetView tabSelected="1" topLeftCell="A9" zoomScale="85" zoomScaleNormal="85" workbookViewId="0">
      <selection activeCell="Q33" sqref="Q33"/>
    </sheetView>
  </sheetViews>
  <sheetFormatPr baseColWidth="10" defaultRowHeight="15" x14ac:dyDescent="0.25"/>
  <cols>
    <col min="1" max="1" width="19.28515625" customWidth="1"/>
    <col min="2" max="2" width="18.5703125" customWidth="1"/>
    <col min="3" max="3" width="17.7109375" customWidth="1"/>
    <col min="4" max="4" width="24" customWidth="1"/>
    <col min="5" max="5" width="6.42578125" customWidth="1"/>
    <col min="6" max="6" width="18.28515625" customWidth="1"/>
    <col min="7" max="7" width="18.7109375" customWidth="1"/>
    <col min="8" max="8" width="18.85546875" customWidth="1"/>
    <col min="9" max="9" width="19.140625" customWidth="1"/>
    <col min="10" max="10" width="5.42578125" customWidth="1"/>
    <col min="11" max="11" width="17.42578125" customWidth="1"/>
    <col min="12" max="12" width="18" customWidth="1"/>
    <col min="13" max="13" width="16.140625" customWidth="1"/>
    <col min="14" max="14" width="19.28515625" customWidth="1"/>
  </cols>
  <sheetData>
    <row r="1" spans="1:14" x14ac:dyDescent="0.25">
      <c r="A1" s="3" t="s">
        <v>23</v>
      </c>
      <c r="B1" s="3"/>
      <c r="C1" s="3"/>
      <c r="D1" s="3"/>
      <c r="F1" s="3" t="s">
        <v>25</v>
      </c>
      <c r="G1" s="3"/>
      <c r="H1" s="3"/>
      <c r="I1" s="3"/>
      <c r="K1" s="3" t="s">
        <v>26</v>
      </c>
      <c r="L1" s="3"/>
      <c r="M1" s="3"/>
      <c r="N1" s="3"/>
    </row>
    <row r="2" spans="1:14" x14ac:dyDescent="0.25">
      <c r="A2" s="4" t="s">
        <v>19</v>
      </c>
      <c r="B2" s="4" t="s">
        <v>20</v>
      </c>
      <c r="C2" s="4" t="s">
        <v>21</v>
      </c>
      <c r="D2" s="4" t="s">
        <v>22</v>
      </c>
      <c r="F2" s="4" t="s">
        <v>19</v>
      </c>
      <c r="G2" s="4" t="s">
        <v>20</v>
      </c>
      <c r="H2" s="4" t="s">
        <v>21</v>
      </c>
      <c r="I2" s="4" t="s">
        <v>22</v>
      </c>
      <c r="K2" s="4" t="s">
        <v>19</v>
      </c>
      <c r="L2" s="4" t="s">
        <v>20</v>
      </c>
      <c r="M2" s="4" t="s">
        <v>21</v>
      </c>
      <c r="N2" s="4" t="s">
        <v>22</v>
      </c>
    </row>
    <row r="3" spans="1:14" x14ac:dyDescent="0.25">
      <c r="A3" s="2" t="s">
        <v>0</v>
      </c>
      <c r="B3" s="2" t="s">
        <v>1</v>
      </c>
      <c r="C3" s="2" t="s">
        <v>2</v>
      </c>
      <c r="D3" s="5">
        <v>0.50600000000000001</v>
      </c>
      <c r="F3" s="2" t="s">
        <v>15</v>
      </c>
      <c r="G3" s="2" t="s">
        <v>1</v>
      </c>
      <c r="H3" s="2" t="s">
        <v>5</v>
      </c>
      <c r="I3" s="5">
        <v>6.3360000000000003</v>
      </c>
      <c r="K3" s="2" t="s">
        <v>18</v>
      </c>
      <c r="L3" s="2" t="s">
        <v>1</v>
      </c>
      <c r="M3" s="2" t="s">
        <v>5</v>
      </c>
      <c r="N3" s="5">
        <v>45.408000000000001</v>
      </c>
    </row>
    <row r="4" spans="1:14" x14ac:dyDescent="0.25">
      <c r="A4" s="2" t="s">
        <v>0</v>
      </c>
      <c r="B4" s="2" t="s">
        <v>3</v>
      </c>
      <c r="C4" s="2" t="s">
        <v>2</v>
      </c>
      <c r="D4" s="5">
        <v>2.1</v>
      </c>
      <c r="F4" s="2" t="s">
        <v>15</v>
      </c>
      <c r="G4" s="2" t="s">
        <v>1</v>
      </c>
      <c r="H4" s="2" t="s">
        <v>13</v>
      </c>
      <c r="I4" s="5">
        <v>42.881999999999998</v>
      </c>
      <c r="K4" s="2" t="s">
        <v>18</v>
      </c>
      <c r="L4" s="2" t="s">
        <v>4</v>
      </c>
      <c r="M4" s="2" t="s">
        <v>5</v>
      </c>
      <c r="N4" s="5">
        <v>160.37</v>
      </c>
    </row>
    <row r="5" spans="1:14" x14ac:dyDescent="0.25">
      <c r="A5" s="2" t="s">
        <v>0</v>
      </c>
      <c r="B5" s="2" t="s">
        <v>4</v>
      </c>
      <c r="C5" s="2" t="s">
        <v>2</v>
      </c>
      <c r="D5" s="5">
        <v>24.6</v>
      </c>
      <c r="F5" s="2" t="s">
        <v>15</v>
      </c>
      <c r="G5" s="2" t="s">
        <v>1</v>
      </c>
      <c r="H5" s="2" t="s">
        <v>16</v>
      </c>
      <c r="I5" s="5">
        <v>63.5</v>
      </c>
      <c r="K5" s="2" t="s">
        <v>18</v>
      </c>
      <c r="L5" s="2" t="s">
        <v>3</v>
      </c>
      <c r="M5" s="2" t="s">
        <v>5</v>
      </c>
      <c r="N5" s="5">
        <v>44.844000000000001</v>
      </c>
    </row>
    <row r="6" spans="1:14" x14ac:dyDescent="0.25">
      <c r="A6" s="2" t="s">
        <v>0</v>
      </c>
      <c r="B6" s="2" t="s">
        <v>1</v>
      </c>
      <c r="C6" s="2" t="s">
        <v>5</v>
      </c>
      <c r="D6" s="5">
        <f>289.916-72.38</f>
        <v>217.536</v>
      </c>
      <c r="F6" s="2" t="s">
        <v>15</v>
      </c>
      <c r="G6" s="2" t="s">
        <v>3</v>
      </c>
      <c r="H6" s="2" t="s">
        <v>17</v>
      </c>
      <c r="I6" s="5">
        <v>2.52</v>
      </c>
      <c r="K6" s="2" t="s">
        <v>18</v>
      </c>
      <c r="L6" s="2" t="s">
        <v>4</v>
      </c>
      <c r="M6" s="2" t="s">
        <v>13</v>
      </c>
      <c r="N6" s="5">
        <v>24.192</v>
      </c>
    </row>
    <row r="7" spans="1:14" x14ac:dyDescent="0.25">
      <c r="A7" s="2" t="s">
        <v>0</v>
      </c>
      <c r="B7" s="2" t="s">
        <v>6</v>
      </c>
      <c r="C7" s="2" t="s">
        <v>5</v>
      </c>
      <c r="D7" s="5">
        <v>1.9319999999999999</v>
      </c>
      <c r="F7" s="2" t="s">
        <v>15</v>
      </c>
      <c r="G7" s="2" t="s">
        <v>10</v>
      </c>
      <c r="H7" s="2" t="s">
        <v>17</v>
      </c>
      <c r="I7" s="5">
        <v>2.52</v>
      </c>
      <c r="K7" s="2" t="s">
        <v>18</v>
      </c>
      <c r="L7" s="2" t="s">
        <v>6</v>
      </c>
      <c r="M7" s="2" t="s">
        <v>13</v>
      </c>
      <c r="N7" s="5">
        <v>218.8</v>
      </c>
    </row>
    <row r="8" spans="1:14" x14ac:dyDescent="0.25">
      <c r="A8" s="2" t="s">
        <v>0</v>
      </c>
      <c r="B8" s="2" t="s">
        <v>4</v>
      </c>
      <c r="C8" s="2" t="s">
        <v>5</v>
      </c>
      <c r="D8" s="5">
        <v>677.04</v>
      </c>
      <c r="F8" s="2" t="s">
        <v>15</v>
      </c>
      <c r="G8" s="2" t="s">
        <v>4</v>
      </c>
      <c r="H8" s="2" t="s">
        <v>17</v>
      </c>
      <c r="I8" s="5">
        <v>5.25</v>
      </c>
      <c r="K8" s="2" t="s">
        <v>18</v>
      </c>
      <c r="L8" s="2" t="s">
        <v>7</v>
      </c>
      <c r="M8" s="2" t="s">
        <v>5</v>
      </c>
      <c r="N8" s="5">
        <v>30.291</v>
      </c>
    </row>
    <row r="9" spans="1:14" x14ac:dyDescent="0.25">
      <c r="A9" s="2" t="s">
        <v>0</v>
      </c>
      <c r="B9" s="2" t="s">
        <v>7</v>
      </c>
      <c r="C9" s="2" t="s">
        <v>5</v>
      </c>
      <c r="D9" s="5">
        <v>183.50200000000001</v>
      </c>
      <c r="F9" s="2" t="s">
        <v>15</v>
      </c>
      <c r="G9" s="2" t="s">
        <v>8</v>
      </c>
      <c r="H9" s="2" t="s">
        <v>17</v>
      </c>
      <c r="I9" s="5">
        <v>1.42</v>
      </c>
      <c r="K9" s="2" t="s">
        <v>18</v>
      </c>
      <c r="L9" s="2" t="s">
        <v>6</v>
      </c>
      <c r="M9" s="2" t="s">
        <v>16</v>
      </c>
      <c r="N9" s="5">
        <v>509.892</v>
      </c>
    </row>
    <row r="10" spans="1:14" x14ac:dyDescent="0.25">
      <c r="A10" s="2" t="s">
        <v>0</v>
      </c>
      <c r="B10" s="2" t="s">
        <v>8</v>
      </c>
      <c r="C10" s="2" t="s">
        <v>5</v>
      </c>
      <c r="D10" s="5">
        <v>91.06</v>
      </c>
      <c r="F10" s="2" t="s">
        <v>15</v>
      </c>
      <c r="G10" s="2" t="s">
        <v>1</v>
      </c>
      <c r="H10" s="2" t="s">
        <v>17</v>
      </c>
      <c r="I10" s="5">
        <v>5.2009999999999996</v>
      </c>
      <c r="K10" s="2" t="s">
        <v>18</v>
      </c>
      <c r="L10" s="2" t="s">
        <v>6</v>
      </c>
      <c r="M10" s="2" t="s">
        <v>5</v>
      </c>
      <c r="N10" s="5">
        <f>114.538-5.796</f>
        <v>108.74199999999999</v>
      </c>
    </row>
    <row r="11" spans="1:14" x14ac:dyDescent="0.25">
      <c r="A11" s="2" t="s">
        <v>0</v>
      </c>
      <c r="B11" s="2" t="s">
        <v>9</v>
      </c>
      <c r="C11" s="2" t="s">
        <v>5</v>
      </c>
      <c r="D11" s="5">
        <v>58.869</v>
      </c>
      <c r="F11" s="2" t="s">
        <v>15</v>
      </c>
      <c r="G11" s="2" t="s">
        <v>6</v>
      </c>
      <c r="H11" s="2" t="s">
        <v>17</v>
      </c>
      <c r="I11" s="5">
        <v>3.3319999999999999</v>
      </c>
      <c r="K11" s="2" t="s">
        <v>18</v>
      </c>
      <c r="L11" s="2" t="s">
        <v>10</v>
      </c>
      <c r="M11" s="2" t="s">
        <v>5</v>
      </c>
      <c r="N11" s="5">
        <v>69.236999999999995</v>
      </c>
    </row>
    <row r="12" spans="1:14" x14ac:dyDescent="0.25">
      <c r="A12" s="2" t="s">
        <v>0</v>
      </c>
      <c r="B12" s="2" t="s">
        <v>10</v>
      </c>
      <c r="C12" s="2" t="s">
        <v>5</v>
      </c>
      <c r="D12" s="5">
        <f>485.13-53.58</f>
        <v>431.55</v>
      </c>
      <c r="F12" s="2" t="s">
        <v>15</v>
      </c>
      <c r="G12" s="2" t="s">
        <v>12</v>
      </c>
      <c r="H12" s="2" t="s">
        <v>17</v>
      </c>
      <c r="I12" s="5">
        <v>28.337</v>
      </c>
      <c r="K12" s="2" t="s">
        <v>18</v>
      </c>
      <c r="L12" s="2" t="s">
        <v>12</v>
      </c>
      <c r="M12" s="2" t="s">
        <v>5</v>
      </c>
      <c r="N12" s="5">
        <v>646.02300000000002</v>
      </c>
    </row>
    <row r="13" spans="1:14" x14ac:dyDescent="0.25">
      <c r="A13" s="2" t="s">
        <v>0</v>
      </c>
      <c r="B13" s="2" t="s">
        <v>3</v>
      </c>
      <c r="C13" s="2" t="s">
        <v>5</v>
      </c>
      <c r="D13" s="5">
        <f>317.1-14.1</f>
        <v>303</v>
      </c>
      <c r="F13" s="2" t="s">
        <v>15</v>
      </c>
      <c r="G13" s="2" t="s">
        <v>3</v>
      </c>
      <c r="H13" s="2" t="s">
        <v>16</v>
      </c>
      <c r="I13" s="5">
        <v>33.527999999999999</v>
      </c>
      <c r="K13" s="2" t="s">
        <v>18</v>
      </c>
      <c r="L13" s="2" t="s">
        <v>12</v>
      </c>
      <c r="M13" s="2" t="s">
        <v>14</v>
      </c>
      <c r="N13" s="5">
        <v>117.76</v>
      </c>
    </row>
    <row r="14" spans="1:14" x14ac:dyDescent="0.25">
      <c r="A14" s="2" t="s">
        <v>0</v>
      </c>
      <c r="B14" s="2" t="s">
        <v>4</v>
      </c>
      <c r="C14" s="2" t="s">
        <v>13</v>
      </c>
      <c r="D14" s="5">
        <f>5.445-2.52</f>
        <v>2.9250000000000003</v>
      </c>
      <c r="F14" s="2" t="s">
        <v>15</v>
      </c>
      <c r="G14" s="2" t="s">
        <v>9</v>
      </c>
      <c r="H14" s="2" t="s">
        <v>17</v>
      </c>
      <c r="I14" s="5">
        <v>1.42</v>
      </c>
      <c r="K14" s="2" t="s">
        <v>18</v>
      </c>
      <c r="L14" s="2" t="s">
        <v>6</v>
      </c>
      <c r="M14" s="2" t="s">
        <v>14</v>
      </c>
      <c r="N14" s="5">
        <v>0</v>
      </c>
    </row>
    <row r="15" spans="1:14" ht="15.75" thickBot="1" x14ac:dyDescent="0.3">
      <c r="F15" s="2" t="s">
        <v>15</v>
      </c>
      <c r="G15" s="2" t="s">
        <v>3</v>
      </c>
      <c r="H15" s="2" t="s">
        <v>13</v>
      </c>
      <c r="I15" s="5">
        <v>38.552999999999997</v>
      </c>
      <c r="K15" s="2" t="s">
        <v>18</v>
      </c>
      <c r="L15" s="2" t="s">
        <v>8</v>
      </c>
      <c r="M15" s="2" t="s">
        <v>5</v>
      </c>
      <c r="N15" s="5">
        <v>32.185000000000002</v>
      </c>
    </row>
    <row r="16" spans="1:14" ht="15.75" thickBot="1" x14ac:dyDescent="0.3">
      <c r="A16" s="12"/>
      <c r="B16" s="7" t="s">
        <v>29</v>
      </c>
      <c r="C16" s="8"/>
      <c r="D16" s="6">
        <f>SUM(D3:D14)</f>
        <v>1994.6199999999997</v>
      </c>
      <c r="F16" s="2" t="s">
        <v>15</v>
      </c>
      <c r="G16" s="2" t="s">
        <v>10</v>
      </c>
      <c r="H16" s="2" t="s">
        <v>16</v>
      </c>
      <c r="I16" s="5">
        <v>33.948</v>
      </c>
      <c r="K16" s="2" t="s">
        <v>18</v>
      </c>
      <c r="L16" s="2" t="s">
        <v>1</v>
      </c>
      <c r="M16" s="2" t="s">
        <v>5</v>
      </c>
      <c r="N16" s="5">
        <v>9</v>
      </c>
    </row>
    <row r="17" spans="1:14" x14ac:dyDescent="0.25">
      <c r="A17" s="9"/>
      <c r="B17" s="9"/>
      <c r="C17" s="9"/>
      <c r="D17" s="9"/>
      <c r="F17" s="2" t="s">
        <v>15</v>
      </c>
      <c r="G17" s="2" t="s">
        <v>12</v>
      </c>
      <c r="H17" s="2" t="s">
        <v>5</v>
      </c>
      <c r="I17" s="5">
        <v>415.03300000000002</v>
      </c>
      <c r="K17" s="2"/>
      <c r="L17" s="2"/>
      <c r="M17" s="2"/>
      <c r="N17" s="5"/>
    </row>
    <row r="18" spans="1:14" x14ac:dyDescent="0.25">
      <c r="A18" s="3" t="s">
        <v>24</v>
      </c>
      <c r="B18" s="3"/>
      <c r="C18" s="3"/>
      <c r="D18" s="3"/>
      <c r="F18" s="2" t="s">
        <v>15</v>
      </c>
      <c r="G18" s="2" t="s">
        <v>12</v>
      </c>
      <c r="H18" s="2" t="s">
        <v>13</v>
      </c>
      <c r="I18" s="5">
        <v>58.72</v>
      </c>
      <c r="K18" s="2"/>
      <c r="L18" s="2"/>
      <c r="M18" s="2"/>
      <c r="N18" s="5"/>
    </row>
    <row r="19" spans="1:14" x14ac:dyDescent="0.25">
      <c r="A19" s="4" t="s">
        <v>19</v>
      </c>
      <c r="B19" s="4" t="s">
        <v>20</v>
      </c>
      <c r="C19" s="4" t="s">
        <v>21</v>
      </c>
      <c r="D19" s="4" t="s">
        <v>22</v>
      </c>
      <c r="F19" s="2" t="s">
        <v>15</v>
      </c>
      <c r="G19" s="2" t="s">
        <v>12</v>
      </c>
      <c r="H19" s="2" t="s">
        <v>16</v>
      </c>
      <c r="I19" s="5">
        <v>163.392</v>
      </c>
      <c r="K19" s="2"/>
      <c r="L19" s="2"/>
      <c r="M19" s="2"/>
      <c r="N19" s="5"/>
    </row>
    <row r="20" spans="1:14" x14ac:dyDescent="0.25">
      <c r="A20" s="2" t="s">
        <v>11</v>
      </c>
      <c r="B20" s="2" t="s">
        <v>12</v>
      </c>
      <c r="C20" s="2" t="s">
        <v>5</v>
      </c>
      <c r="D20" s="5">
        <f>1811.417-15.834</f>
        <v>1795.5829999999999</v>
      </c>
      <c r="F20" s="2" t="s">
        <v>15</v>
      </c>
      <c r="G20" s="2" t="s">
        <v>6</v>
      </c>
      <c r="H20" s="2" t="s">
        <v>5</v>
      </c>
      <c r="I20" s="5">
        <v>172.44900000000001</v>
      </c>
      <c r="K20" s="2"/>
      <c r="L20" s="2"/>
      <c r="M20" s="2"/>
      <c r="N20" s="5"/>
    </row>
    <row r="21" spans="1:14" ht="15.75" thickBot="1" x14ac:dyDescent="0.3">
      <c r="A21" s="2" t="s">
        <v>11</v>
      </c>
      <c r="B21" s="2" t="s">
        <v>1</v>
      </c>
      <c r="C21" s="2" t="s">
        <v>2</v>
      </c>
      <c r="D21" s="5">
        <v>6.7510000000000003</v>
      </c>
      <c r="F21" s="2" t="s">
        <v>15</v>
      </c>
      <c r="G21" s="2" t="s">
        <v>6</v>
      </c>
      <c r="H21" s="2" t="s">
        <v>13</v>
      </c>
      <c r="I21" s="5">
        <v>52.295999999999999</v>
      </c>
    </row>
    <row r="22" spans="1:14" ht="15.75" thickBot="1" x14ac:dyDescent="0.3">
      <c r="A22" s="2" t="s">
        <v>11</v>
      </c>
      <c r="B22" s="2" t="s">
        <v>3</v>
      </c>
      <c r="C22" s="2" t="s">
        <v>2</v>
      </c>
      <c r="D22" s="5">
        <v>6.2690000000000001</v>
      </c>
      <c r="F22" s="2" t="s">
        <v>15</v>
      </c>
      <c r="G22" s="2" t="s">
        <v>6</v>
      </c>
      <c r="H22" s="2" t="s">
        <v>16</v>
      </c>
      <c r="I22" s="5">
        <v>185.02799999999999</v>
      </c>
      <c r="L22" s="7" t="s">
        <v>27</v>
      </c>
      <c r="M22" s="8"/>
      <c r="N22" s="6">
        <f>SUM(N3:N20)</f>
        <v>2016.7439999999999</v>
      </c>
    </row>
    <row r="23" spans="1:14" x14ac:dyDescent="0.25">
      <c r="A23" s="2" t="s">
        <v>11</v>
      </c>
      <c r="B23" s="2" t="s">
        <v>4</v>
      </c>
      <c r="C23" s="2" t="s">
        <v>13</v>
      </c>
      <c r="D23" s="5">
        <v>2.7229999999999999</v>
      </c>
      <c r="F23" s="2" t="s">
        <v>15</v>
      </c>
      <c r="G23" s="2" t="s">
        <v>4</v>
      </c>
      <c r="H23" s="2" t="s">
        <v>5</v>
      </c>
      <c r="I23" s="5">
        <v>28.224</v>
      </c>
    </row>
    <row r="24" spans="1:14" x14ac:dyDescent="0.25">
      <c r="A24" s="2" t="s">
        <v>11</v>
      </c>
      <c r="B24" s="2" t="s">
        <v>4</v>
      </c>
      <c r="C24" s="2" t="s">
        <v>14</v>
      </c>
      <c r="D24" s="5">
        <v>18.815999999999999</v>
      </c>
      <c r="F24" s="2" t="s">
        <v>15</v>
      </c>
      <c r="G24" s="2" t="s">
        <v>4</v>
      </c>
      <c r="H24" s="2" t="s">
        <v>13</v>
      </c>
      <c r="I24" s="5">
        <v>84.21</v>
      </c>
    </row>
    <row r="25" spans="1:14" x14ac:dyDescent="0.25">
      <c r="A25" s="2" t="s">
        <v>11</v>
      </c>
      <c r="B25" s="2" t="s">
        <v>4</v>
      </c>
      <c r="C25" s="2" t="s">
        <v>5</v>
      </c>
      <c r="D25" s="5">
        <v>0</v>
      </c>
      <c r="F25" s="2" t="s">
        <v>15</v>
      </c>
      <c r="G25" s="2" t="s">
        <v>3</v>
      </c>
      <c r="H25" s="2" t="s">
        <v>5</v>
      </c>
      <c r="I25" s="5">
        <v>4.8479999999999999</v>
      </c>
    </row>
    <row r="26" spans="1:14" x14ac:dyDescent="0.25">
      <c r="A26" s="2" t="s">
        <v>11</v>
      </c>
      <c r="B26" s="2" t="s">
        <v>6</v>
      </c>
      <c r="C26" s="2" t="s">
        <v>13</v>
      </c>
      <c r="D26" s="5">
        <v>4.3579999999999997</v>
      </c>
      <c r="F26" s="2" t="s">
        <v>15</v>
      </c>
      <c r="G26" s="2" t="s">
        <v>4</v>
      </c>
      <c r="H26" s="2" t="s">
        <v>16</v>
      </c>
      <c r="I26" s="5">
        <v>48.317</v>
      </c>
    </row>
    <row r="27" spans="1:14" x14ac:dyDescent="0.25">
      <c r="A27" s="2" t="s">
        <v>11</v>
      </c>
      <c r="B27" s="2" t="s">
        <v>6</v>
      </c>
      <c r="C27" s="2" t="s">
        <v>5</v>
      </c>
      <c r="D27" s="5">
        <v>670.63499999999999</v>
      </c>
      <c r="F27" s="2" t="s">
        <v>15</v>
      </c>
      <c r="G27" s="2" t="s">
        <v>7</v>
      </c>
      <c r="H27" s="2" t="s">
        <v>16</v>
      </c>
      <c r="I27" s="5">
        <v>62.594999999999999</v>
      </c>
      <c r="K27" s="3" t="s">
        <v>31</v>
      </c>
      <c r="L27" s="3"/>
      <c r="M27" s="3"/>
      <c r="N27" s="3"/>
    </row>
    <row r="28" spans="1:14" x14ac:dyDescent="0.25">
      <c r="A28" s="2" t="s">
        <v>11</v>
      </c>
      <c r="B28" s="2" t="s">
        <v>8</v>
      </c>
      <c r="C28" s="2" t="s">
        <v>5</v>
      </c>
      <c r="D28" s="5">
        <v>0</v>
      </c>
      <c r="F28" s="2" t="s">
        <v>15</v>
      </c>
      <c r="G28" s="2" t="s">
        <v>8</v>
      </c>
      <c r="H28" s="2" t="s">
        <v>5</v>
      </c>
      <c r="I28" s="5">
        <v>7.85</v>
      </c>
      <c r="K28" s="4" t="s">
        <v>19</v>
      </c>
      <c r="L28" s="4" t="s">
        <v>20</v>
      </c>
      <c r="M28" s="4" t="s">
        <v>21</v>
      </c>
      <c r="N28" s="4" t="s">
        <v>22</v>
      </c>
    </row>
    <row r="29" spans="1:14" x14ac:dyDescent="0.25">
      <c r="A29" s="2" t="s">
        <v>11</v>
      </c>
      <c r="B29" s="2" t="s">
        <v>1</v>
      </c>
      <c r="C29" s="2" t="s">
        <v>5</v>
      </c>
      <c r="D29" s="5">
        <v>0</v>
      </c>
      <c r="F29" s="2" t="s">
        <v>15</v>
      </c>
      <c r="G29" s="2" t="s">
        <v>8</v>
      </c>
      <c r="H29" s="2" t="s">
        <v>16</v>
      </c>
      <c r="I29" s="5">
        <v>11.12</v>
      </c>
      <c r="K29" s="2"/>
      <c r="L29" s="2" t="s">
        <v>1</v>
      </c>
      <c r="M29" s="2" t="s">
        <v>5</v>
      </c>
      <c r="N29" s="5">
        <f>72.3+2.828</f>
        <v>75.128</v>
      </c>
    </row>
    <row r="30" spans="1:14" x14ac:dyDescent="0.25">
      <c r="A30" s="2" t="s">
        <v>11</v>
      </c>
      <c r="B30" s="2" t="s">
        <v>3</v>
      </c>
      <c r="C30" s="2" t="s">
        <v>5</v>
      </c>
      <c r="D30" s="5">
        <v>0</v>
      </c>
      <c r="F30" s="2" t="s">
        <v>15</v>
      </c>
      <c r="G30" s="2" t="s">
        <v>9</v>
      </c>
      <c r="H30" s="2" t="s">
        <v>13</v>
      </c>
      <c r="I30" s="5">
        <v>18.411000000000001</v>
      </c>
      <c r="K30" s="2"/>
      <c r="L30" s="2" t="s">
        <v>3</v>
      </c>
      <c r="M30" s="2" t="s">
        <v>5</v>
      </c>
      <c r="N30" s="5">
        <f>2.82+14.1</f>
        <v>16.919999999999998</v>
      </c>
    </row>
    <row r="31" spans="1:14" x14ac:dyDescent="0.25">
      <c r="A31" s="2" t="s">
        <v>11</v>
      </c>
      <c r="B31" s="2" t="s">
        <v>10</v>
      </c>
      <c r="C31" s="2" t="s">
        <v>5</v>
      </c>
      <c r="D31" s="5">
        <v>0</v>
      </c>
      <c r="F31" s="2" t="s">
        <v>15</v>
      </c>
      <c r="G31" s="2" t="s">
        <v>9</v>
      </c>
      <c r="H31" s="2" t="s">
        <v>16</v>
      </c>
      <c r="I31" s="5">
        <v>4.12</v>
      </c>
      <c r="K31" s="2"/>
      <c r="L31" s="2" t="s">
        <v>10</v>
      </c>
      <c r="M31" s="2" t="s">
        <v>5</v>
      </c>
      <c r="N31" s="5">
        <f>1.88+53.58</f>
        <v>55.46</v>
      </c>
    </row>
    <row r="32" spans="1:14" x14ac:dyDescent="0.25">
      <c r="F32" s="2" t="s">
        <v>15</v>
      </c>
      <c r="G32" s="2" t="s">
        <v>10</v>
      </c>
      <c r="H32" s="2" t="s">
        <v>5</v>
      </c>
      <c r="I32" s="5">
        <v>19.782</v>
      </c>
      <c r="K32" s="2"/>
      <c r="L32" s="2" t="s">
        <v>9</v>
      </c>
      <c r="M32" s="2" t="s">
        <v>5</v>
      </c>
      <c r="N32" s="5"/>
    </row>
    <row r="33" spans="2:14" x14ac:dyDescent="0.25">
      <c r="F33" s="2" t="s">
        <v>15</v>
      </c>
      <c r="G33" s="2" t="s">
        <v>10</v>
      </c>
      <c r="H33" s="2" t="s">
        <v>13</v>
      </c>
      <c r="I33" s="5">
        <v>15.68</v>
      </c>
      <c r="K33" s="2"/>
      <c r="L33" s="2" t="s">
        <v>8</v>
      </c>
      <c r="M33" s="2" t="s">
        <v>5</v>
      </c>
      <c r="N33" s="5">
        <v>10.78</v>
      </c>
    </row>
    <row r="34" spans="2:14" ht="15.75" thickBot="1" x14ac:dyDescent="0.3">
      <c r="F34" s="2" t="s">
        <v>15</v>
      </c>
      <c r="G34" s="2" t="s">
        <v>7</v>
      </c>
      <c r="H34" s="2" t="s">
        <v>5</v>
      </c>
      <c r="I34" s="5">
        <v>16.681999999999999</v>
      </c>
      <c r="K34" s="2"/>
      <c r="L34" s="2" t="s">
        <v>7</v>
      </c>
      <c r="M34" s="2" t="s">
        <v>5</v>
      </c>
      <c r="N34" s="5"/>
    </row>
    <row r="35" spans="2:14" ht="15.75" thickBot="1" x14ac:dyDescent="0.3">
      <c r="B35" s="10" t="s">
        <v>28</v>
      </c>
      <c r="C35" s="11"/>
      <c r="D35" s="6">
        <f>SUM(D20:D31)</f>
        <v>2505.1349999999998</v>
      </c>
      <c r="F35" s="2"/>
      <c r="G35" s="2"/>
      <c r="H35" s="2"/>
      <c r="I35" s="5"/>
      <c r="K35" s="2"/>
      <c r="L35" s="2" t="s">
        <v>4</v>
      </c>
      <c r="M35" s="2" t="s">
        <v>5</v>
      </c>
      <c r="N35" s="5">
        <f>37.758+6.72</f>
        <v>44.478000000000002</v>
      </c>
    </row>
    <row r="36" spans="2:14" ht="15.75" thickBot="1" x14ac:dyDescent="0.3">
      <c r="K36" s="2"/>
      <c r="L36" s="2" t="s">
        <v>6</v>
      </c>
      <c r="M36" s="2" t="s">
        <v>5</v>
      </c>
      <c r="N36" s="5">
        <v>5.7960000000000003</v>
      </c>
    </row>
    <row r="37" spans="2:14" ht="15.75" thickBot="1" x14ac:dyDescent="0.3">
      <c r="G37" s="7" t="s">
        <v>30</v>
      </c>
      <c r="H37" s="8"/>
      <c r="I37" s="6">
        <f>SUM(I3:I34)</f>
        <v>1637.5039999999999</v>
      </c>
      <c r="K37" s="2"/>
      <c r="L37" s="2" t="s">
        <v>12</v>
      </c>
      <c r="M37" s="2" t="s">
        <v>5</v>
      </c>
      <c r="N37" s="5">
        <f>15.834+6</f>
        <v>21.834</v>
      </c>
    </row>
    <row r="38" spans="2:14" x14ac:dyDescent="0.25">
      <c r="K38" s="2"/>
      <c r="L38" s="2" t="s">
        <v>1</v>
      </c>
      <c r="M38" s="2" t="s">
        <v>13</v>
      </c>
      <c r="N38" s="5">
        <v>5</v>
      </c>
    </row>
    <row r="39" spans="2:14" x14ac:dyDescent="0.25">
      <c r="K39" s="2"/>
      <c r="L39" s="2" t="s">
        <v>3</v>
      </c>
      <c r="M39" s="2" t="s">
        <v>13</v>
      </c>
      <c r="N39" s="5">
        <v>5</v>
      </c>
    </row>
    <row r="40" spans="2:14" x14ac:dyDescent="0.25">
      <c r="K40" s="2"/>
      <c r="L40" s="2" t="s">
        <v>10</v>
      </c>
      <c r="M40" s="2" t="s">
        <v>13</v>
      </c>
      <c r="N40" s="5">
        <v>3</v>
      </c>
    </row>
    <row r="41" spans="2:14" x14ac:dyDescent="0.25">
      <c r="K41" s="2"/>
      <c r="L41" s="2" t="s">
        <v>9</v>
      </c>
      <c r="M41" s="2" t="s">
        <v>13</v>
      </c>
      <c r="N41" s="5">
        <v>22.42</v>
      </c>
    </row>
    <row r="42" spans="2:14" x14ac:dyDescent="0.25">
      <c r="K42" s="2"/>
      <c r="L42" s="2" t="s">
        <v>8</v>
      </c>
      <c r="M42" s="2" t="s">
        <v>13</v>
      </c>
      <c r="N42" s="5"/>
    </row>
    <row r="43" spans="2:14" x14ac:dyDescent="0.25">
      <c r="K43" s="2"/>
      <c r="L43" s="2" t="s">
        <v>7</v>
      </c>
      <c r="M43" s="2" t="s">
        <v>13</v>
      </c>
      <c r="N43" s="5">
        <v>3.5910000000000002</v>
      </c>
    </row>
    <row r="44" spans="2:14" x14ac:dyDescent="0.25">
      <c r="K44" s="2"/>
      <c r="L44" s="2" t="s">
        <v>4</v>
      </c>
      <c r="M44" s="2" t="s">
        <v>13</v>
      </c>
      <c r="N44" s="5">
        <f>2.52+4.998</f>
        <v>7.5180000000000007</v>
      </c>
    </row>
    <row r="45" spans="2:14" x14ac:dyDescent="0.25">
      <c r="K45" s="2"/>
      <c r="L45" s="2" t="s">
        <v>6</v>
      </c>
      <c r="M45" s="2" t="s">
        <v>13</v>
      </c>
      <c r="N45" s="5"/>
    </row>
    <row r="46" spans="2:14" x14ac:dyDescent="0.25">
      <c r="K46" s="2"/>
      <c r="L46" s="2" t="s">
        <v>12</v>
      </c>
      <c r="M46" s="2" t="s">
        <v>13</v>
      </c>
      <c r="N46" s="5"/>
    </row>
    <row r="47" spans="2:14" x14ac:dyDescent="0.25">
      <c r="K47" s="2"/>
      <c r="L47" s="2" t="s">
        <v>1</v>
      </c>
      <c r="M47" s="2" t="s">
        <v>14</v>
      </c>
      <c r="N47" s="5">
        <v>7.56</v>
      </c>
    </row>
    <row r="48" spans="2:14" x14ac:dyDescent="0.25">
      <c r="K48" s="2"/>
      <c r="L48" s="2" t="s">
        <v>3</v>
      </c>
      <c r="M48" s="2" t="s">
        <v>14</v>
      </c>
      <c r="N48" s="5"/>
    </row>
    <row r="49" spans="11:14" x14ac:dyDescent="0.25">
      <c r="K49" s="2"/>
      <c r="L49" s="2" t="s">
        <v>10</v>
      </c>
      <c r="M49" s="2" t="s">
        <v>14</v>
      </c>
      <c r="N49" s="5">
        <v>15</v>
      </c>
    </row>
    <row r="50" spans="11:14" x14ac:dyDescent="0.25">
      <c r="K50" s="2"/>
      <c r="L50" s="2" t="s">
        <v>9</v>
      </c>
      <c r="M50" s="2" t="s">
        <v>14</v>
      </c>
      <c r="N50" s="5"/>
    </row>
    <row r="51" spans="11:14" x14ac:dyDescent="0.25">
      <c r="K51" s="2"/>
      <c r="L51" s="2" t="s">
        <v>8</v>
      </c>
      <c r="M51" s="2" t="s">
        <v>14</v>
      </c>
      <c r="N51" s="5"/>
    </row>
    <row r="52" spans="11:14" x14ac:dyDescent="0.25">
      <c r="K52" s="2"/>
      <c r="L52" s="2" t="s">
        <v>7</v>
      </c>
      <c r="M52" s="2" t="s">
        <v>14</v>
      </c>
      <c r="N52" s="5"/>
    </row>
    <row r="53" spans="11:14" x14ac:dyDescent="0.25">
      <c r="K53" s="2"/>
      <c r="L53" s="2" t="s">
        <v>4</v>
      </c>
      <c r="M53" s="2" t="s">
        <v>14</v>
      </c>
      <c r="N53" s="5"/>
    </row>
    <row r="54" spans="11:14" x14ac:dyDescent="0.25">
      <c r="K54" s="2"/>
      <c r="L54" s="2" t="s">
        <v>6</v>
      </c>
      <c r="M54" s="2" t="s">
        <v>14</v>
      </c>
      <c r="N54" s="5">
        <v>26.620999999999999</v>
      </c>
    </row>
    <row r="55" spans="11:14" x14ac:dyDescent="0.25">
      <c r="K55" s="2"/>
      <c r="L55" s="2" t="s">
        <v>12</v>
      </c>
      <c r="M55" s="2" t="s">
        <v>14</v>
      </c>
      <c r="N55" s="5"/>
    </row>
    <row r="56" spans="11:14" x14ac:dyDescent="0.25">
      <c r="K56" s="2"/>
      <c r="L56" s="2" t="s">
        <v>1</v>
      </c>
      <c r="M56" s="2" t="s">
        <v>16</v>
      </c>
      <c r="N56" s="5">
        <v>10</v>
      </c>
    </row>
    <row r="57" spans="11:14" x14ac:dyDescent="0.25">
      <c r="K57" s="2"/>
      <c r="L57" s="2" t="s">
        <v>3</v>
      </c>
      <c r="M57" s="2" t="s">
        <v>16</v>
      </c>
      <c r="N57" s="5">
        <v>11.62</v>
      </c>
    </row>
    <row r="58" spans="11:14" x14ac:dyDescent="0.25">
      <c r="K58" s="2"/>
      <c r="L58" s="2" t="s">
        <v>10</v>
      </c>
      <c r="M58" s="2" t="s">
        <v>16</v>
      </c>
      <c r="N58" s="5"/>
    </row>
    <row r="59" spans="11:14" x14ac:dyDescent="0.25">
      <c r="K59" s="2"/>
      <c r="L59" s="2" t="s">
        <v>9</v>
      </c>
      <c r="M59" s="2" t="s">
        <v>16</v>
      </c>
      <c r="N59" s="5"/>
    </row>
    <row r="60" spans="11:14" x14ac:dyDescent="0.25">
      <c r="K60" s="2"/>
      <c r="L60" s="2" t="s">
        <v>8</v>
      </c>
      <c r="M60" s="2" t="s">
        <v>16</v>
      </c>
      <c r="N60" s="5"/>
    </row>
    <row r="61" spans="11:14" x14ac:dyDescent="0.25">
      <c r="K61" s="2"/>
      <c r="L61" s="2" t="s">
        <v>7</v>
      </c>
      <c r="M61" s="2" t="s">
        <v>16</v>
      </c>
      <c r="N61" s="5"/>
    </row>
    <row r="62" spans="11:14" x14ac:dyDescent="0.25">
      <c r="K62" s="2"/>
      <c r="L62" s="2" t="s">
        <v>4</v>
      </c>
      <c r="M62" s="2" t="s">
        <v>16</v>
      </c>
      <c r="N62" s="5"/>
    </row>
    <row r="63" spans="11:14" x14ac:dyDescent="0.25">
      <c r="K63" s="2"/>
      <c r="L63" s="2" t="s">
        <v>6</v>
      </c>
      <c r="M63" s="2" t="s">
        <v>16</v>
      </c>
      <c r="N63" s="5"/>
    </row>
    <row r="64" spans="11:14" x14ac:dyDescent="0.25">
      <c r="K64" s="2"/>
      <c r="L64" s="2" t="s">
        <v>12</v>
      </c>
      <c r="M64" s="2" t="s">
        <v>16</v>
      </c>
      <c r="N64" s="5"/>
    </row>
    <row r="65" spans="12:14" ht="15.75" thickBot="1" x14ac:dyDescent="0.3"/>
    <row r="66" spans="12:14" ht="15.75" thickBot="1" x14ac:dyDescent="0.3">
      <c r="L66" s="7" t="s">
        <v>32</v>
      </c>
      <c r="M66" s="8"/>
      <c r="N66" s="6">
        <f>SUM(N29:N64)</f>
        <v>347.72600000000006</v>
      </c>
    </row>
  </sheetData>
  <autoFilter ref="H1:H35" xr:uid="{28D395E5-C285-43EC-9E01-038F200D9628}"/>
  <mergeCells count="10">
    <mergeCell ref="K27:N27"/>
    <mergeCell ref="L66:M66"/>
    <mergeCell ref="A18:D18"/>
    <mergeCell ref="B16:C16"/>
    <mergeCell ref="G37:H37"/>
    <mergeCell ref="B35:C35"/>
    <mergeCell ref="A1:D1"/>
    <mergeCell ref="F1:I1"/>
    <mergeCell ref="K1:N1"/>
    <mergeCell ref="L22:M22"/>
  </mergeCells>
  <phoneticPr fontId="19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Toneleria</dc:creator>
  <cp:lastModifiedBy>Carlos Gómez</cp:lastModifiedBy>
  <cp:lastPrinted>2026-02-27T07:30:18Z</cp:lastPrinted>
  <dcterms:created xsi:type="dcterms:W3CDTF">2026-02-27T07:30:09Z</dcterms:created>
  <dcterms:modified xsi:type="dcterms:W3CDTF">2026-02-27T07:30:46Z</dcterms:modified>
</cp:coreProperties>
</file>